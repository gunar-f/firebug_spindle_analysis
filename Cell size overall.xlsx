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nar\Desktop\Paper\own\2026_Fire bug meiosis_Alex_Le\"/>
    </mc:Choice>
  </mc:AlternateContent>
  <xr:revisionPtr revIDLastSave="0" documentId="13_ncr:1_{C4BF6952-0F9E-44DA-B4E8-3EA962DA9A43}" xr6:coauthVersionLast="47" xr6:coauthVersionMax="47" xr10:uidLastSave="{00000000-0000-0000-0000-000000000000}"/>
  <bookViews>
    <workbookView xWindow="-24000" yWindow="1785" windowWidth="21600" windowHeight="12645" xr2:uid="{61DD5E9C-A1D2-45E7-9976-2B9E98701DE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1" i="1" l="1"/>
  <c r="K29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2" i="1"/>
  <c r="I48" i="1"/>
  <c r="H48" i="1"/>
  <c r="I41" i="1"/>
  <c r="H41" i="1"/>
  <c r="I21" i="1"/>
  <c r="H21" i="1"/>
</calcChain>
</file>

<file path=xl/sharedStrings.xml><?xml version="1.0" encoding="utf-8"?>
<sst xmlns="http://schemas.openxmlformats.org/spreadsheetml/2006/main" count="102" uniqueCount="58">
  <si>
    <t>Dataset</t>
  </si>
  <si>
    <t xml:space="preserve">Cell area </t>
  </si>
  <si>
    <t xml:space="preserve">Division </t>
  </si>
  <si>
    <t>Meiosis I</t>
  </si>
  <si>
    <t>Meiosis II</t>
  </si>
  <si>
    <t>Mitosis</t>
  </si>
  <si>
    <t>AL126</t>
  </si>
  <si>
    <t>Spindle length metaphase</t>
  </si>
  <si>
    <t>Final spindle length</t>
  </si>
  <si>
    <t>Cell diameter</t>
  </si>
  <si>
    <t>Welch's t test meiosis I-II</t>
  </si>
  <si>
    <t>Welch's t test meiosis II-mitosis</t>
  </si>
  <si>
    <t>AL01</t>
  </si>
  <si>
    <t>AL15_2</t>
  </si>
  <si>
    <t>AL18</t>
  </si>
  <si>
    <t>AL28_1</t>
  </si>
  <si>
    <t>AL30</t>
  </si>
  <si>
    <t>AL35_scene2</t>
  </si>
  <si>
    <t>AL40_1_upper cell</t>
  </si>
  <si>
    <t>AL42</t>
  </si>
  <si>
    <t>AL43</t>
  </si>
  <si>
    <t>AL47</t>
  </si>
  <si>
    <t>AL48</t>
  </si>
  <si>
    <t>AL49</t>
  </si>
  <si>
    <t>AL53</t>
  </si>
  <si>
    <t>AL54</t>
  </si>
  <si>
    <t>AL55</t>
  </si>
  <si>
    <t>AL56</t>
  </si>
  <si>
    <t>AL57</t>
  </si>
  <si>
    <t>AL60</t>
  </si>
  <si>
    <t>AL65</t>
  </si>
  <si>
    <t>AL14</t>
  </si>
  <si>
    <t>AL17</t>
  </si>
  <si>
    <t>AL27</t>
  </si>
  <si>
    <t>AL29</t>
  </si>
  <si>
    <t>AL35</t>
  </si>
  <si>
    <t>AL36</t>
  </si>
  <si>
    <t>AL40a_3</t>
  </si>
  <si>
    <t>AL40b_1_lower cell</t>
  </si>
  <si>
    <t>AL41a_scene3_upper cell</t>
  </si>
  <si>
    <t>AL41b_scene3_lower cell</t>
  </si>
  <si>
    <t>AL41c</t>
  </si>
  <si>
    <t>AL38</t>
  </si>
  <si>
    <t>AL37a_right cell</t>
  </si>
  <si>
    <t>AL37b_left cell</t>
  </si>
  <si>
    <t>AL50</t>
  </si>
  <si>
    <t>AL59</t>
  </si>
  <si>
    <t>AL61</t>
  </si>
  <si>
    <t>AL62a</t>
  </si>
  <si>
    <t>AL62b_2</t>
  </si>
  <si>
    <t>AL22</t>
  </si>
  <si>
    <t>AL23</t>
  </si>
  <si>
    <t>AL064a</t>
  </si>
  <si>
    <t>AL064b</t>
  </si>
  <si>
    <t>AL063a upper right</t>
  </si>
  <si>
    <t>AL063b upper left</t>
  </si>
  <si>
    <t>AL46b</t>
  </si>
  <si>
    <t>AL46a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</si>
</sst>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00"/>
  </numFmts>
  <fonts count="3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0" fillId="3" borderId="0" xfId="0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Cell area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xVal>
            <c:numRef>
              <c:f>Sheet1!$B$2:$B$50</c:f>
              <c:numCache>
                <c:formatCode>General</c:formatCode>
                <c:ptCount val="49"/>
                <c:pt idx="0">
                  <c:v>19.4312</c:v>
                </c:pt>
                <c:pt idx="1">
                  <c:v>17.660600000000002</c:v>
                </c:pt>
                <c:pt idx="2">
                  <c:v>16.344000000000001</c:v>
                </c:pt>
                <c:pt idx="3">
                  <c:v>13.529199999999999</c:v>
                </c:pt>
                <c:pt idx="4">
                  <c:v>18.114599999999999</c:v>
                </c:pt>
                <c:pt idx="5">
                  <c:v>13.6654</c:v>
                </c:pt>
                <c:pt idx="6">
                  <c:v>14.800400000000002</c:v>
                </c:pt>
                <c:pt idx="7">
                  <c:v>19.703600000000002</c:v>
                </c:pt>
                <c:pt idx="8">
                  <c:v>14.074000000000002</c:v>
                </c:pt>
                <c:pt idx="9">
                  <c:v>17.1158</c:v>
                </c:pt>
                <c:pt idx="10">
                  <c:v>16.2986</c:v>
                </c:pt>
                <c:pt idx="11">
                  <c:v>14.528</c:v>
                </c:pt>
                <c:pt idx="12">
                  <c:v>16.571000000000002</c:v>
                </c:pt>
                <c:pt idx="13">
                  <c:v>17.615200000000002</c:v>
                </c:pt>
                <c:pt idx="14">
                  <c:v>15.299799999999999</c:v>
                </c:pt>
                <c:pt idx="15">
                  <c:v>16.661799999999999</c:v>
                </c:pt>
                <c:pt idx="16">
                  <c:v>12.2126</c:v>
                </c:pt>
                <c:pt idx="17">
                  <c:v>13.529200000000001</c:v>
                </c:pt>
                <c:pt idx="18">
                  <c:v>10.7598</c:v>
                </c:pt>
                <c:pt idx="19">
                  <c:v>15.0274</c:v>
                </c:pt>
                <c:pt idx="20">
                  <c:v>9.9426000000000005</c:v>
                </c:pt>
                <c:pt idx="21">
                  <c:v>15.89</c:v>
                </c:pt>
                <c:pt idx="22">
                  <c:v>15.617600000000001</c:v>
                </c:pt>
                <c:pt idx="23">
                  <c:v>12.984400000000001</c:v>
                </c:pt>
                <c:pt idx="24">
                  <c:v>13.4838</c:v>
                </c:pt>
                <c:pt idx="25">
                  <c:v>11.304600000000001</c:v>
                </c:pt>
                <c:pt idx="26">
                  <c:v>12.4396</c:v>
                </c:pt>
                <c:pt idx="28">
                  <c:v>14.255599999999999</c:v>
                </c:pt>
                <c:pt idx="29">
                  <c:v>14.800400000000002</c:v>
                </c:pt>
                <c:pt idx="30">
                  <c:v>13.529199999999999</c:v>
                </c:pt>
                <c:pt idx="31">
                  <c:v>12.8482</c:v>
                </c:pt>
                <c:pt idx="32">
                  <c:v>14.164800000000001</c:v>
                </c:pt>
                <c:pt idx="33">
                  <c:v>15.935400000000001</c:v>
                </c:pt>
                <c:pt idx="34">
                  <c:v>17.1158</c:v>
                </c:pt>
                <c:pt idx="35">
                  <c:v>15.799200000000001</c:v>
                </c:pt>
                <c:pt idx="36">
                  <c:v>10.805199999999999</c:v>
                </c:pt>
                <c:pt idx="37">
                  <c:v>15.7538</c:v>
                </c:pt>
                <c:pt idx="38">
                  <c:v>13.166</c:v>
                </c:pt>
                <c:pt idx="39">
                  <c:v>12.485000000000001</c:v>
                </c:pt>
                <c:pt idx="40">
                  <c:v>8.0358000000000001</c:v>
                </c:pt>
                <c:pt idx="41">
                  <c:v>6.5830000000000002</c:v>
                </c:pt>
                <c:pt idx="42">
                  <c:v>7.7634000000000007</c:v>
                </c:pt>
                <c:pt idx="43">
                  <c:v>6.7192000000000007</c:v>
                </c:pt>
                <c:pt idx="44">
                  <c:v>7.2640000000000002</c:v>
                </c:pt>
                <c:pt idx="45">
                  <c:v>7.4002000000000008</c:v>
                </c:pt>
                <c:pt idx="46">
                  <c:v>5.7204000000000006</c:v>
                </c:pt>
              </c:numCache>
            </c:numRef>
          </c:xVal>
          <c:yVal>
            <c:numRef>
              <c:f>Sheet1!$D$2:$D$50</c:f>
              <c:numCache>
                <c:formatCode>General</c:formatCode>
                <c:ptCount val="49"/>
                <c:pt idx="0">
                  <c:v>802.59500000000003</c:v>
                </c:pt>
                <c:pt idx="1">
                  <c:v>623.79300000000001</c:v>
                </c:pt>
                <c:pt idx="2">
                  <c:v>562.03499999999997</c:v>
                </c:pt>
                <c:pt idx="3">
                  <c:v>567.86</c:v>
                </c:pt>
                <c:pt idx="4">
                  <c:v>468.56599999999997</c:v>
                </c:pt>
                <c:pt idx="5">
                  <c:v>463.88900000000001</c:v>
                </c:pt>
                <c:pt idx="6">
                  <c:v>466.79300000000001</c:v>
                </c:pt>
                <c:pt idx="7">
                  <c:v>737.73</c:v>
                </c:pt>
                <c:pt idx="8">
                  <c:v>517.66899999999998</c:v>
                </c:pt>
                <c:pt idx="9">
                  <c:v>597.53399999999999</c:v>
                </c:pt>
                <c:pt idx="10">
                  <c:v>630.81200000000001</c:v>
                </c:pt>
                <c:pt idx="11">
                  <c:v>648.32299999999998</c:v>
                </c:pt>
                <c:pt idx="12">
                  <c:v>761.28499999999997</c:v>
                </c:pt>
                <c:pt idx="13">
                  <c:v>569.91300000000001</c:v>
                </c:pt>
                <c:pt idx="14">
                  <c:v>557.15800000000002</c:v>
                </c:pt>
                <c:pt idx="15">
                  <c:v>730.57799999999997</c:v>
                </c:pt>
                <c:pt idx="16">
                  <c:v>517.60699999999997</c:v>
                </c:pt>
                <c:pt idx="17">
                  <c:v>501.80599999999998</c:v>
                </c:pt>
                <c:pt idx="18">
                  <c:v>500.45600000000002</c:v>
                </c:pt>
                <c:pt idx="19">
                  <c:v>481.34899999999999</c:v>
                </c:pt>
                <c:pt idx="20">
                  <c:v>328.34699999999998</c:v>
                </c:pt>
                <c:pt idx="21">
                  <c:v>388.51</c:v>
                </c:pt>
                <c:pt idx="22">
                  <c:v>391.30099999999999</c:v>
                </c:pt>
                <c:pt idx="23">
                  <c:v>416.00200000000001</c:v>
                </c:pt>
                <c:pt idx="24">
                  <c:v>314.255</c:v>
                </c:pt>
                <c:pt idx="25">
                  <c:v>408.78199999999998</c:v>
                </c:pt>
                <c:pt idx="26">
                  <c:v>275.14800000000002</c:v>
                </c:pt>
                <c:pt idx="27">
                  <c:v>346.572</c:v>
                </c:pt>
                <c:pt idx="28">
                  <c:v>355.11500000000001</c:v>
                </c:pt>
                <c:pt idx="29">
                  <c:v>359.18799999999999</c:v>
                </c:pt>
                <c:pt idx="30">
                  <c:v>342.92599999999999</c:v>
                </c:pt>
                <c:pt idx="31">
                  <c:v>288.70699999999999</c:v>
                </c:pt>
                <c:pt idx="32">
                  <c:v>331.36200000000002</c:v>
                </c:pt>
                <c:pt idx="33">
                  <c:v>460</c:v>
                </c:pt>
                <c:pt idx="34">
                  <c:v>320.59899999999999</c:v>
                </c:pt>
                <c:pt idx="35">
                  <c:v>361.03699999999998</c:v>
                </c:pt>
                <c:pt idx="36">
                  <c:v>302.23200000000003</c:v>
                </c:pt>
                <c:pt idx="37">
                  <c:v>320.71199999999999</c:v>
                </c:pt>
                <c:pt idx="38">
                  <c:v>382.19099999999997</c:v>
                </c:pt>
                <c:pt idx="39">
                  <c:v>373.99099999999999</c:v>
                </c:pt>
                <c:pt idx="40">
                  <c:v>100.92100000000001</c:v>
                </c:pt>
                <c:pt idx="41">
                  <c:v>76.340999999999994</c:v>
                </c:pt>
                <c:pt idx="42">
                  <c:v>89.512</c:v>
                </c:pt>
                <c:pt idx="43">
                  <c:v>87.843000000000004</c:v>
                </c:pt>
                <c:pt idx="44">
                  <c:v>76.405000000000001</c:v>
                </c:pt>
                <c:pt idx="45">
                  <c:v>70.319000000000003</c:v>
                </c:pt>
                <c:pt idx="46">
                  <c:v>89.302000000000007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9F-48B6-9DBC-EACB40BD2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20720"/>
        <c:axId val="608521200"/>
      </c:scatterChart>
      <c:valAx>
        <c:axId val="608520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21200"/>
        <c:crosses val="autoZero"/>
        <c:crossBetween val="midCat"/>
      </c:valAx>
      <c:valAx>
        <c:axId val="60852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20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Cell diameter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Sheet1!$C$2:$C$52</c:f>
              <c:numCache>
                <c:formatCode>General</c:formatCode>
                <c:ptCount val="51"/>
                <c:pt idx="0">
                  <c:v>23.1841850318797</c:v>
                </c:pt>
                <c:pt idx="1">
                  <c:v>18.4872217767508</c:v>
                </c:pt>
                <c:pt idx="2">
                  <c:v>19.449718712207201</c:v>
                </c:pt>
                <c:pt idx="3">
                  <c:v>18.1671972518876</c:v>
                </c:pt>
                <c:pt idx="4">
                  <c:v>20.005963601761199</c:v>
                </c:pt>
                <c:pt idx="5">
                  <c:v>19.3821307420578</c:v>
                </c:pt>
                <c:pt idx="6">
                  <c:v>20.686732016048499</c:v>
                </c:pt>
                <c:pt idx="7">
                  <c:v>24.506988797098401</c:v>
                </c:pt>
                <c:pt idx="8">
                  <c:v>18.3328509361254</c:v>
                </c:pt>
                <c:pt idx="9">
                  <c:v>16.6113560044396</c:v>
                </c:pt>
                <c:pt idx="10">
                  <c:v>17.875027390239101</c:v>
                </c:pt>
                <c:pt idx="11">
                  <c:v>18.589691079806901</c:v>
                </c:pt>
                <c:pt idx="12">
                  <c:v>19.903842314931602</c:v>
                </c:pt>
                <c:pt idx="13">
                  <c:v>19.642206208555798</c:v>
                </c:pt>
                <c:pt idx="14">
                  <c:v>22.410118235602301</c:v>
                </c:pt>
                <c:pt idx="15">
                  <c:v>19.4751424611866</c:v>
                </c:pt>
                <c:pt idx="16">
                  <c:v>17.175536959138402</c:v>
                </c:pt>
                <c:pt idx="17">
                  <c:v>18.643386769832201</c:v>
                </c:pt>
                <c:pt idx="18">
                  <c:v>19.357408430341302</c:v>
                </c:pt>
                <c:pt idx="19">
                  <c:v>20.744885431986098</c:v>
                </c:pt>
                <c:pt idx="20">
                  <c:v>13.603002413246299</c:v>
                </c:pt>
                <c:pt idx="21">
                  <c:v>17.350397991407199</c:v>
                </c:pt>
                <c:pt idx="22">
                  <c:v>15.6644606641712</c:v>
                </c:pt>
                <c:pt idx="23">
                  <c:v>17.492787123134399</c:v>
                </c:pt>
                <c:pt idx="24">
                  <c:v>18.356991556549001</c:v>
                </c:pt>
                <c:pt idx="25">
                  <c:v>16.110672414023099</c:v>
                </c:pt>
                <c:pt idx="26">
                  <c:v>15.741643185153601</c:v>
                </c:pt>
                <c:pt idx="27">
                  <c:v>15.7053733333341</c:v>
                </c:pt>
                <c:pt idx="28">
                  <c:v>16.4262111436745</c:v>
                </c:pt>
                <c:pt idx="29">
                  <c:v>16.9127511708584</c:v>
                </c:pt>
                <c:pt idx="30">
                  <c:v>15.2502727272727</c:v>
                </c:pt>
                <c:pt idx="33">
                  <c:v>16.1755550600944</c:v>
                </c:pt>
                <c:pt idx="34">
                  <c:v>18.400448869296302</c:v>
                </c:pt>
                <c:pt idx="35">
                  <c:v>18.401197386424599</c:v>
                </c:pt>
                <c:pt idx="36">
                  <c:v>17.2788446314987</c:v>
                </c:pt>
                <c:pt idx="37">
                  <c:v>14.7210310703495</c:v>
                </c:pt>
                <c:pt idx="38">
                  <c:v>16.986107590934999</c:v>
                </c:pt>
                <c:pt idx="39">
                  <c:v>18.046260992225399</c:v>
                </c:pt>
                <c:pt idx="40">
                  <c:v>12.1179059415757</c:v>
                </c:pt>
                <c:pt idx="41">
                  <c:v>9.4889553838316996</c:v>
                </c:pt>
                <c:pt idx="42">
                  <c:v>11.734502688645</c:v>
                </c:pt>
                <c:pt idx="43">
                  <c:v>10.5950545701408</c:v>
                </c:pt>
                <c:pt idx="44">
                  <c:v>10.1238601930675</c:v>
                </c:pt>
                <c:pt idx="45">
                  <c:v>11.2473558810896</c:v>
                </c:pt>
                <c:pt idx="46">
                  <c:v>11.2585930701386</c:v>
                </c:pt>
              </c:numCache>
            </c:numRef>
          </c:xVal>
          <c:yVal>
            <c:numRef>
              <c:f>Sheet1!$E$2:$E$52</c:f>
              <c:numCache>
                <c:formatCode>General</c:formatCode>
                <c:ptCount val="51"/>
                <c:pt idx="0">
                  <c:v>31.967103284574453</c:v>
                </c:pt>
                <c:pt idx="1">
                  <c:v>28.182226940554735</c:v>
                </c:pt>
                <c:pt idx="2">
                  <c:v>26.750797885767444</c:v>
                </c:pt>
                <c:pt idx="3">
                  <c:v>26.889064838206291</c:v>
                </c:pt>
                <c:pt idx="4">
                  <c:v>24.425330305204412</c:v>
                </c:pt>
                <c:pt idx="5">
                  <c:v>24.303123650420147</c:v>
                </c:pt>
                <c:pt idx="6">
                  <c:v>24.379075183556935</c:v>
                </c:pt>
                <c:pt idx="7">
                  <c:v>30.648115918232392</c:v>
                </c:pt>
                <c:pt idx="8">
                  <c:v>25.673267066804403</c:v>
                </c:pt>
                <c:pt idx="9">
                  <c:v>27.582674238074354</c:v>
                </c:pt>
                <c:pt idx="10">
                  <c:v>28.340338454108565</c:v>
                </c:pt>
                <c:pt idx="11">
                  <c:v>28.731002094623857</c:v>
                </c:pt>
                <c:pt idx="12">
                  <c:v>31.133553713215015</c:v>
                </c:pt>
                <c:pt idx="13">
                  <c:v>26.937627376192637</c:v>
                </c:pt>
                <c:pt idx="14">
                  <c:v>26.634481377821253</c:v>
                </c:pt>
                <c:pt idx="15">
                  <c:v>30.499193433818284</c:v>
                </c:pt>
                <c:pt idx="16">
                  <c:v>25.671729607326615</c:v>
                </c:pt>
                <c:pt idx="17">
                  <c:v>25.276851919994524</c:v>
                </c:pt>
                <c:pt idx="18">
                  <c:v>25.242828082446284</c:v>
                </c:pt>
                <c:pt idx="19">
                  <c:v>24.756263482575182</c:v>
                </c:pt>
                <c:pt idx="20">
                  <c:v>20.446622821266324</c:v>
                </c:pt>
                <c:pt idx="21">
                  <c:v>22.241094746550257</c:v>
                </c:pt>
                <c:pt idx="22">
                  <c:v>22.320840196873888</c:v>
                </c:pt>
                <c:pt idx="23">
                  <c:v>23.014564890279424</c:v>
                </c:pt>
                <c:pt idx="24">
                  <c:v>20.00304709614818</c:v>
                </c:pt>
                <c:pt idx="25">
                  <c:v>22.813973954046126</c:v>
                </c:pt>
                <c:pt idx="26">
                  <c:v>18.717086158234338</c:v>
                </c:pt>
                <c:pt idx="27">
                  <c:v>21.006407962760452</c:v>
                </c:pt>
                <c:pt idx="28">
                  <c:v>21.263735817786053</c:v>
                </c:pt>
                <c:pt idx="29">
                  <c:v>21.385330616904277</c:v>
                </c:pt>
                <c:pt idx="30">
                  <c:v>20.895620213763017</c:v>
                </c:pt>
                <c:pt idx="31">
                  <c:v>19.172719401322038</c:v>
                </c:pt>
                <c:pt idx="32">
                  <c:v>20.54028242314368</c:v>
                </c:pt>
                <c:pt idx="33">
                  <c:v>24.201036973198818</c:v>
                </c:pt>
                <c:pt idx="34">
                  <c:v>20.203943298339595</c:v>
                </c:pt>
                <c:pt idx="35">
                  <c:v>21.440302831642065</c:v>
                </c:pt>
                <c:pt idx="36">
                  <c:v>19.616669801074096</c:v>
                </c:pt>
                <c:pt idx="37">
                  <c:v>20.207503578400686</c:v>
                </c:pt>
                <c:pt idx="38">
                  <c:v>22.059480837994453</c:v>
                </c:pt>
                <c:pt idx="39">
                  <c:v>21.821551974481945</c:v>
                </c:pt>
                <c:pt idx="40">
                  <c:v>11.335634437216513</c:v>
                </c:pt>
                <c:pt idx="41">
                  <c:v>9.8590253110853023</c:v>
                </c:pt>
                <c:pt idx="42">
                  <c:v>10.675683497009752</c:v>
                </c:pt>
                <c:pt idx="43">
                  <c:v>10.57568822007171</c:v>
                </c:pt>
                <c:pt idx="44">
                  <c:v>9.8631570714190548</c:v>
                </c:pt>
                <c:pt idx="45">
                  <c:v>9.4621842904387581</c:v>
                </c:pt>
                <c:pt idx="46">
                  <c:v>10.663153277709743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5D-4724-86E7-4FF1C44195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5006224"/>
        <c:axId val="975019664"/>
      </c:scatterChart>
      <c:valAx>
        <c:axId val="975006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5019664"/>
        <c:crosses val="autoZero"/>
        <c:crossBetween val="midCat"/>
      </c:valAx>
      <c:valAx>
        <c:axId val="97501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5006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192880</xdr:colOff>
      <xdr:row>3</xdr:row>
      <xdr:rowOff>209550</xdr:rowOff>
    </xdr:from>
    <xdr:to>
      <xdr:col>17</xdr:col>
      <xdr:colOff>230980</xdr:colOff>
      <xdr:row>14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EF1633-DA74-B329-97AA-C9D61DCBB9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209550</xdr:colOff>
      <xdr:row>15</xdr:row>
      <xdr:rowOff>190500</xdr:rowOff>
    </xdr:from>
    <xdr:to>
      <xdr:col>17</xdr:col>
      <xdr:colOff>247650</xdr:colOff>
      <xdr:row>26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775AD5-E5C2-6C6B-BF2F-E078B80019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47264-4648-422A-8834-B893839F46AB}">
  <dimension ref="A1:K50"/>
  <sheetViews>
    <sheetView tabSelected="1" workbookViewId="0">
      <pane ySplit="1" topLeftCell="A23" activePane="bottomLeft" state="frozen"/>
      <selection pane="bottomLeft" activeCell="A36" sqref="A36"/>
    </sheetView>
  </sheetViews>
  <sheetFormatPr defaultRowHeight="15" x14ac:dyDescent="0.25"/>
  <cols>
    <col min="1" max="1" width="31.5703125" bestFit="1" customWidth="1"/>
    <col min="2" max="2" width="21" bestFit="1" customWidth="1"/>
    <col min="3" max="3" width="21" customWidth="1"/>
    <col min="4" max="5" width="15" customWidth="1"/>
    <col min="11" max="11" width="22.42578125" bestFit="1" customWidth="1"/>
  </cols>
  <sheetData>
    <row r="1" spans="1:6" x14ac:dyDescent="0.25">
      <c r="A1" t="s">
        <v>0</v>
      </c>
      <c r="B1" t="s">
        <v>7</v>
      </c>
      <c r="C1" t="s">
        <v>8</v>
      </c>
      <c r="D1" t="s">
        <v>1</v>
      </c>
      <c r="E1" t="s">
        <v>9</v>
      </c>
      <c r="F1" t="s">
        <v>2</v>
      </c>
    </row>
    <row r="2" spans="1:6" ht="21" x14ac:dyDescent="0.25">
      <c r="A2" s="2" t="s">
        <v>12</v>
      </c>
      <c r="B2">
        <v>19.4312</v>
      </c>
      <c r="C2">
        <v>23.1841850318797</v>
      </c>
      <c r="D2">
        <v>802.59500000000003</v>
      </c>
      <c r="E2">
        <f>SQRT((4*D2)/3.14159265359)</f>
        <v>31.967103284574453</v>
      </c>
      <c r="F2" t="s">
        <v>3</v>
      </c>
    </row>
    <row r="3" spans="1:6" ht="21" x14ac:dyDescent="0.25">
      <c r="A3" s="2" t="s">
        <v>13</v>
      </c>
      <c r="B3">
        <v>17.660600000000002</v>
      </c>
      <c r="C3">
        <v>18.4872217767508</v>
      </c>
      <c r="D3">
        <v>623.79300000000001</v>
      </c>
      <c r="E3">
        <f t="shared" ref="E3:E48" si="0">SQRT((4*D3)/3.14159265359)</f>
        <v>28.182226940554735</v>
      </c>
      <c r="F3" t="s">
        <v>3</v>
      </c>
    </row>
    <row r="4" spans="1:6" ht="21" x14ac:dyDescent="0.25">
      <c r="A4" s="2" t="s">
        <v>14</v>
      </c>
      <c r="B4">
        <v>16.344000000000001</v>
      </c>
      <c r="C4">
        <v>19.449718712207201</v>
      </c>
      <c r="D4">
        <v>562.03499999999997</v>
      </c>
      <c r="E4">
        <f t="shared" si="0"/>
        <v>26.750797885767444</v>
      </c>
      <c r="F4" t="s">
        <v>3</v>
      </c>
    </row>
    <row r="5" spans="1:6" ht="21" x14ac:dyDescent="0.25">
      <c r="A5" s="2" t="s">
        <v>15</v>
      </c>
      <c r="B5">
        <v>13.529199999999999</v>
      </c>
      <c r="C5">
        <v>18.1671972518876</v>
      </c>
      <c r="D5">
        <v>567.86</v>
      </c>
      <c r="E5">
        <f t="shared" si="0"/>
        <v>26.889064838206291</v>
      </c>
      <c r="F5" t="s">
        <v>3</v>
      </c>
    </row>
    <row r="6" spans="1:6" ht="21" x14ac:dyDescent="0.25">
      <c r="A6" s="2" t="s">
        <v>16</v>
      </c>
      <c r="B6">
        <v>18.114599999999999</v>
      </c>
      <c r="C6">
        <v>20.005963601761199</v>
      </c>
      <c r="D6">
        <v>468.56599999999997</v>
      </c>
      <c r="E6">
        <f t="shared" si="0"/>
        <v>24.425330305204412</v>
      </c>
      <c r="F6" t="s">
        <v>3</v>
      </c>
    </row>
    <row r="7" spans="1:6" ht="21" x14ac:dyDescent="0.25">
      <c r="A7" s="2" t="s">
        <v>17</v>
      </c>
      <c r="B7">
        <v>13.6654</v>
      </c>
      <c r="C7">
        <v>19.3821307420578</v>
      </c>
      <c r="D7">
        <v>463.88900000000001</v>
      </c>
      <c r="E7">
        <f t="shared" si="0"/>
        <v>24.303123650420147</v>
      </c>
      <c r="F7" t="s">
        <v>3</v>
      </c>
    </row>
    <row r="8" spans="1:6" ht="18.75" x14ac:dyDescent="0.25">
      <c r="A8" s="1" t="s">
        <v>18</v>
      </c>
      <c r="B8">
        <v>14.800400000000002</v>
      </c>
      <c r="C8">
        <v>20.686732016048499</v>
      </c>
      <c r="D8">
        <v>466.79300000000001</v>
      </c>
      <c r="E8">
        <f t="shared" si="0"/>
        <v>24.379075183556935</v>
      </c>
      <c r="F8" t="s">
        <v>3</v>
      </c>
    </row>
    <row r="9" spans="1:6" ht="21" x14ac:dyDescent="0.25">
      <c r="A9" s="2" t="s">
        <v>19</v>
      </c>
      <c r="B9">
        <v>19.703600000000002</v>
      </c>
      <c r="C9">
        <v>24.506988797098401</v>
      </c>
      <c r="D9">
        <v>737.73</v>
      </c>
      <c r="E9">
        <f t="shared" si="0"/>
        <v>30.648115918232392</v>
      </c>
      <c r="F9" t="s">
        <v>3</v>
      </c>
    </row>
    <row r="10" spans="1:6" ht="21" x14ac:dyDescent="0.25">
      <c r="A10" s="2" t="s">
        <v>20</v>
      </c>
      <c r="B10">
        <v>14.074000000000002</v>
      </c>
      <c r="C10">
        <v>18.3328509361254</v>
      </c>
      <c r="D10">
        <v>517.66899999999998</v>
      </c>
      <c r="E10">
        <f t="shared" si="0"/>
        <v>25.673267066804403</v>
      </c>
      <c r="F10" t="s">
        <v>3</v>
      </c>
    </row>
    <row r="11" spans="1:6" ht="21" x14ac:dyDescent="0.25">
      <c r="A11" s="2" t="s">
        <v>56</v>
      </c>
      <c r="B11">
        <v>17.1158</v>
      </c>
      <c r="C11">
        <v>16.6113560044396</v>
      </c>
      <c r="D11">
        <v>597.53399999999999</v>
      </c>
      <c r="E11">
        <f t="shared" si="0"/>
        <v>27.582674238074354</v>
      </c>
      <c r="F11" t="s">
        <v>3</v>
      </c>
    </row>
    <row r="12" spans="1:6" ht="21" x14ac:dyDescent="0.25">
      <c r="A12" s="2" t="s">
        <v>21</v>
      </c>
      <c r="B12">
        <v>16.2986</v>
      </c>
      <c r="C12">
        <v>17.875027390239101</v>
      </c>
      <c r="D12">
        <v>630.81200000000001</v>
      </c>
      <c r="E12">
        <f t="shared" si="0"/>
        <v>28.340338454108565</v>
      </c>
      <c r="F12" t="s">
        <v>3</v>
      </c>
    </row>
    <row r="13" spans="1:6" ht="21" x14ac:dyDescent="0.25">
      <c r="A13" s="2" t="s">
        <v>22</v>
      </c>
      <c r="B13">
        <v>14.528</v>
      </c>
      <c r="C13">
        <v>18.589691079806901</v>
      </c>
      <c r="D13">
        <v>648.32299999999998</v>
      </c>
      <c r="E13">
        <f t="shared" si="0"/>
        <v>28.731002094623857</v>
      </c>
      <c r="F13" t="s">
        <v>3</v>
      </c>
    </row>
    <row r="14" spans="1:6" ht="18.75" x14ac:dyDescent="0.25">
      <c r="A14" s="1" t="s">
        <v>23</v>
      </c>
      <c r="B14">
        <v>16.571000000000002</v>
      </c>
      <c r="C14">
        <v>19.903842314931602</v>
      </c>
      <c r="D14">
        <v>761.28499999999997</v>
      </c>
      <c r="E14">
        <f t="shared" si="0"/>
        <v>31.133553713215015</v>
      </c>
      <c r="F14" t="s">
        <v>3</v>
      </c>
    </row>
    <row r="15" spans="1:6" ht="21" x14ac:dyDescent="0.25">
      <c r="A15" s="2" t="s">
        <v>24</v>
      </c>
      <c r="B15">
        <v>17.615200000000002</v>
      </c>
      <c r="C15">
        <v>19.642206208555798</v>
      </c>
      <c r="D15">
        <v>569.91300000000001</v>
      </c>
      <c r="E15">
        <f t="shared" si="0"/>
        <v>26.937627376192637</v>
      </c>
      <c r="F15" t="s">
        <v>3</v>
      </c>
    </row>
    <row r="16" spans="1:6" ht="21" x14ac:dyDescent="0.25">
      <c r="A16" s="2" t="s">
        <v>25</v>
      </c>
      <c r="B16">
        <v>15.299799999999999</v>
      </c>
      <c r="C16">
        <v>22.410118235602301</v>
      </c>
      <c r="D16">
        <v>557.15800000000002</v>
      </c>
      <c r="E16">
        <f t="shared" si="0"/>
        <v>26.634481377821253</v>
      </c>
      <c r="F16" t="s">
        <v>3</v>
      </c>
    </row>
    <row r="17" spans="1:11" ht="21" x14ac:dyDescent="0.25">
      <c r="A17" s="2" t="s">
        <v>26</v>
      </c>
      <c r="B17">
        <v>16.661799999999999</v>
      </c>
      <c r="C17">
        <v>19.4751424611866</v>
      </c>
      <c r="D17">
        <v>730.57799999999997</v>
      </c>
      <c r="E17">
        <f t="shared" si="0"/>
        <v>30.499193433818284</v>
      </c>
      <c r="F17" t="s">
        <v>3</v>
      </c>
    </row>
    <row r="18" spans="1:11" ht="21" x14ac:dyDescent="0.25">
      <c r="A18" s="2" t="s">
        <v>27</v>
      </c>
      <c r="B18">
        <v>12.2126</v>
      </c>
      <c r="C18">
        <v>17.175536959138402</v>
      </c>
      <c r="D18">
        <v>517.60699999999997</v>
      </c>
      <c r="E18">
        <f t="shared" si="0"/>
        <v>25.671729607326615</v>
      </c>
      <c r="F18" t="s">
        <v>3</v>
      </c>
    </row>
    <row r="19" spans="1:11" ht="21" x14ac:dyDescent="0.25">
      <c r="A19" s="2" t="s">
        <v>28</v>
      </c>
      <c r="B19">
        <v>13.529200000000001</v>
      </c>
      <c r="C19">
        <v>18.643386769832201</v>
      </c>
      <c r="D19">
        <v>501.80599999999998</v>
      </c>
      <c r="E19">
        <f t="shared" si="0"/>
        <v>25.276851919994524</v>
      </c>
      <c r="F19" t="s">
        <v>3</v>
      </c>
    </row>
    <row r="20" spans="1:11" ht="21" x14ac:dyDescent="0.25">
      <c r="A20" s="2" t="s">
        <v>29</v>
      </c>
      <c r="B20">
        <v>10.7598</v>
      </c>
      <c r="C20">
        <v>19.357408430341302</v>
      </c>
      <c r="D20">
        <v>500.45600000000002</v>
      </c>
      <c r="E20">
        <f t="shared" si="0"/>
        <v>25.242828082446284</v>
      </c>
      <c r="F20" t="s">
        <v>3</v>
      </c>
    </row>
    <row r="21" spans="1:11" ht="21" x14ac:dyDescent="0.25">
      <c r="A21" s="2" t="s">
        <v>30</v>
      </c>
      <c r="B21">
        <v>15.0274</v>
      </c>
      <c r="C21">
        <v>20.744885431986098</v>
      </c>
      <c r="D21">
        <v>481.34899999999999</v>
      </c>
      <c r="E21">
        <f t="shared" si="0"/>
        <v>24.756263482575182</v>
      </c>
      <c r="F21" t="s">
        <v>3</v>
      </c>
      <c r="H21">
        <f>AVERAGE(D2:D21)</f>
        <v>585.38755000000003</v>
      </c>
      <c r="I21">
        <f>_xlfn.STDEV.S(D2:D21)</f>
        <v>104.78556506628458</v>
      </c>
    </row>
    <row r="22" spans="1:11" ht="21" x14ac:dyDescent="0.25">
      <c r="A22" s="4" t="s">
        <v>31</v>
      </c>
      <c r="B22">
        <v>9.9426000000000005</v>
      </c>
      <c r="C22">
        <v>13.603002413246299</v>
      </c>
      <c r="D22">
        <v>328.34699999999998</v>
      </c>
      <c r="E22">
        <f t="shared" si="0"/>
        <v>20.446622821266324</v>
      </c>
      <c r="F22" t="s">
        <v>4</v>
      </c>
    </row>
    <row r="23" spans="1:11" ht="21" x14ac:dyDescent="0.25">
      <c r="A23" s="2" t="s">
        <v>32</v>
      </c>
      <c r="B23">
        <v>15.89</v>
      </c>
      <c r="C23">
        <v>17.350397991407199</v>
      </c>
      <c r="D23">
        <v>388.51</v>
      </c>
      <c r="E23">
        <f t="shared" si="0"/>
        <v>22.241094746550257</v>
      </c>
      <c r="F23" t="s">
        <v>4</v>
      </c>
    </row>
    <row r="24" spans="1:11" ht="21" x14ac:dyDescent="0.25">
      <c r="A24" s="2" t="s">
        <v>33</v>
      </c>
      <c r="B24">
        <v>15.617600000000001</v>
      </c>
      <c r="C24">
        <v>15.6644606641712</v>
      </c>
      <c r="D24">
        <v>391.30099999999999</v>
      </c>
      <c r="E24">
        <f t="shared" si="0"/>
        <v>22.320840196873888</v>
      </c>
      <c r="F24" t="s">
        <v>4</v>
      </c>
    </row>
    <row r="25" spans="1:11" ht="21" x14ac:dyDescent="0.25">
      <c r="A25" s="2" t="s">
        <v>34</v>
      </c>
      <c r="B25">
        <v>12.984400000000001</v>
      </c>
      <c r="C25">
        <v>17.492787123134399</v>
      </c>
      <c r="D25">
        <v>416.00200000000001</v>
      </c>
      <c r="E25">
        <f t="shared" si="0"/>
        <v>23.014564890279424</v>
      </c>
      <c r="F25" t="s">
        <v>4</v>
      </c>
    </row>
    <row r="26" spans="1:11" ht="21" x14ac:dyDescent="0.25">
      <c r="A26" s="2" t="s">
        <v>35</v>
      </c>
      <c r="B26">
        <v>13.4838</v>
      </c>
      <c r="C26">
        <v>18.356991556549001</v>
      </c>
      <c r="D26">
        <v>314.255</v>
      </c>
      <c r="E26">
        <f t="shared" si="0"/>
        <v>20.00304709614818</v>
      </c>
      <c r="F26" t="s">
        <v>4</v>
      </c>
    </row>
    <row r="27" spans="1:11" ht="21" x14ac:dyDescent="0.25">
      <c r="A27" s="2" t="s">
        <v>36</v>
      </c>
      <c r="B27">
        <v>11.304600000000001</v>
      </c>
      <c r="C27">
        <v>16.110672414023099</v>
      </c>
      <c r="D27">
        <v>408.78199999999998</v>
      </c>
      <c r="E27">
        <f t="shared" si="0"/>
        <v>22.813973954046126</v>
      </c>
      <c r="F27" t="s">
        <v>4</v>
      </c>
    </row>
    <row r="28" spans="1:11" ht="21" x14ac:dyDescent="0.25">
      <c r="A28" s="2" t="s">
        <v>44</v>
      </c>
      <c r="B28">
        <v>12.4396</v>
      </c>
      <c r="C28">
        <v>15.741643185153601</v>
      </c>
      <c r="D28">
        <v>275.14800000000002</v>
      </c>
      <c r="E28">
        <f t="shared" si="0"/>
        <v>18.717086158234338</v>
      </c>
      <c r="F28" t="s">
        <v>4</v>
      </c>
      <c r="K28" t="s">
        <v>10</v>
      </c>
    </row>
    <row r="29" spans="1:11" ht="21" x14ac:dyDescent="0.25">
      <c r="A29" s="3" t="s">
        <v>43</v>
      </c>
      <c r="C29">
        <v>15.7053733333341</v>
      </c>
      <c r="D29">
        <v>346.572</v>
      </c>
      <c r="E29">
        <f t="shared" si="0"/>
        <v>21.006407962760452</v>
      </c>
      <c r="F29" t="s">
        <v>4</v>
      </c>
      <c r="K29" s="6">
        <f>_xlfn.T.TEST(D2:D21,D22:D41,1,3)</f>
        <v>7.6385798170222612E-10</v>
      </c>
    </row>
    <row r="30" spans="1:11" ht="21" x14ac:dyDescent="0.25">
      <c r="A30" s="2" t="s">
        <v>42</v>
      </c>
      <c r="B30">
        <v>14.255599999999999</v>
      </c>
      <c r="C30">
        <v>16.4262111436745</v>
      </c>
      <c r="D30">
        <v>355.11500000000001</v>
      </c>
      <c r="E30">
        <f t="shared" si="0"/>
        <v>21.263735817786053</v>
      </c>
      <c r="F30" t="s">
        <v>4</v>
      </c>
      <c r="K30" t="s">
        <v>11</v>
      </c>
    </row>
    <row r="31" spans="1:11" ht="21" x14ac:dyDescent="0.25">
      <c r="A31" s="2" t="s">
        <v>37</v>
      </c>
      <c r="B31">
        <v>14.800400000000002</v>
      </c>
      <c r="C31">
        <v>16.9127511708584</v>
      </c>
      <c r="D31">
        <v>359.18799999999999</v>
      </c>
      <c r="E31">
        <f t="shared" si="0"/>
        <v>21.385330616904277</v>
      </c>
      <c r="F31" t="s">
        <v>4</v>
      </c>
      <c r="K31" s="6">
        <f>_xlfn.T.TEST(D22:D41,D42:D48,1,3)</f>
        <v>1.8492702006361072E-18</v>
      </c>
    </row>
    <row r="32" spans="1:11" ht="21" x14ac:dyDescent="0.25">
      <c r="A32" s="2" t="s">
        <v>38</v>
      </c>
      <c r="B32">
        <v>13.529199999999999</v>
      </c>
      <c r="C32">
        <v>15.2502727272727</v>
      </c>
      <c r="D32">
        <v>342.92599999999999</v>
      </c>
      <c r="E32">
        <f t="shared" si="0"/>
        <v>20.895620213763017</v>
      </c>
      <c r="F32" t="s">
        <v>4</v>
      </c>
    </row>
    <row r="33" spans="1:9" ht="21" x14ac:dyDescent="0.25">
      <c r="A33" s="2" t="s">
        <v>39</v>
      </c>
      <c r="B33">
        <v>12.8482</v>
      </c>
      <c r="C33" s="5"/>
      <c r="D33">
        <v>288.70699999999999</v>
      </c>
      <c r="E33">
        <f t="shared" si="0"/>
        <v>19.172719401322038</v>
      </c>
      <c r="F33" t="s">
        <v>4</v>
      </c>
    </row>
    <row r="34" spans="1:9" ht="21" x14ac:dyDescent="0.25">
      <c r="A34" s="2" t="s">
        <v>40</v>
      </c>
      <c r="B34">
        <v>14.164800000000001</v>
      </c>
      <c r="C34" s="5"/>
      <c r="D34">
        <v>331.36200000000002</v>
      </c>
      <c r="E34">
        <f t="shared" si="0"/>
        <v>20.54028242314368</v>
      </c>
      <c r="F34" t="s">
        <v>4</v>
      </c>
    </row>
    <row r="35" spans="1:9" ht="21" x14ac:dyDescent="0.25">
      <c r="A35" s="2" t="s">
        <v>41</v>
      </c>
      <c r="B35">
        <v>15.935400000000001</v>
      </c>
      <c r="C35">
        <v>16.1755550600944</v>
      </c>
      <c r="D35">
        <v>460</v>
      </c>
      <c r="E35">
        <f t="shared" si="0"/>
        <v>24.201036973198818</v>
      </c>
      <c r="F35" t="s">
        <v>4</v>
      </c>
    </row>
    <row r="36" spans="1:9" ht="21" x14ac:dyDescent="0.25">
      <c r="A36" s="2" t="s">
        <v>57</v>
      </c>
      <c r="B36">
        <v>17.1158</v>
      </c>
      <c r="C36">
        <v>18.400448869296302</v>
      </c>
      <c r="D36">
        <v>320.59899999999999</v>
      </c>
      <c r="E36">
        <f t="shared" si="0"/>
        <v>20.203943298339595</v>
      </c>
      <c r="F36" t="s">
        <v>4</v>
      </c>
    </row>
    <row r="37" spans="1:9" ht="21" x14ac:dyDescent="0.25">
      <c r="A37" s="2" t="s">
        <v>45</v>
      </c>
      <c r="B37">
        <v>15.799200000000001</v>
      </c>
      <c r="C37">
        <v>18.401197386424599</v>
      </c>
      <c r="D37">
        <v>361.03699999999998</v>
      </c>
      <c r="E37">
        <f t="shared" si="0"/>
        <v>21.440302831642065</v>
      </c>
      <c r="F37" t="s">
        <v>4</v>
      </c>
    </row>
    <row r="38" spans="1:9" ht="21" x14ac:dyDescent="0.25">
      <c r="A38" s="2" t="s">
        <v>46</v>
      </c>
      <c r="B38">
        <v>10.805199999999999</v>
      </c>
      <c r="C38">
        <v>17.2788446314987</v>
      </c>
      <c r="D38">
        <v>302.23200000000003</v>
      </c>
      <c r="E38">
        <f t="shared" si="0"/>
        <v>19.616669801074096</v>
      </c>
      <c r="F38" t="s">
        <v>4</v>
      </c>
    </row>
    <row r="39" spans="1:9" ht="21" x14ac:dyDescent="0.25">
      <c r="A39" s="2" t="s">
        <v>47</v>
      </c>
      <c r="B39">
        <v>15.7538</v>
      </c>
      <c r="C39">
        <v>14.7210310703495</v>
      </c>
      <c r="D39">
        <v>320.71199999999999</v>
      </c>
      <c r="E39">
        <f t="shared" si="0"/>
        <v>20.207503578400686</v>
      </c>
      <c r="F39" t="s">
        <v>4</v>
      </c>
    </row>
    <row r="40" spans="1:9" ht="21" x14ac:dyDescent="0.25">
      <c r="A40" s="2" t="s">
        <v>48</v>
      </c>
      <c r="B40">
        <v>13.166</v>
      </c>
      <c r="C40">
        <v>16.986107590934999</v>
      </c>
      <c r="D40">
        <v>382.19099999999997</v>
      </c>
      <c r="E40">
        <f t="shared" si="0"/>
        <v>22.059480837994453</v>
      </c>
      <c r="F40" t="s">
        <v>4</v>
      </c>
    </row>
    <row r="41" spans="1:9" ht="21" x14ac:dyDescent="0.25">
      <c r="A41" s="2" t="s">
        <v>49</v>
      </c>
      <c r="B41">
        <v>12.485000000000001</v>
      </c>
      <c r="C41">
        <v>18.046260992225399</v>
      </c>
      <c r="D41">
        <v>373.99099999999999</v>
      </c>
      <c r="E41">
        <f t="shared" si="0"/>
        <v>21.821551974481945</v>
      </c>
      <c r="F41" t="s">
        <v>4</v>
      </c>
      <c r="H41">
        <f>AVERAGE(D22:D41)</f>
        <v>353.34884999999997</v>
      </c>
      <c r="I41">
        <f>_xlfn.STDEV.S(D22:D41)</f>
        <v>46.020405807212718</v>
      </c>
    </row>
    <row r="42" spans="1:9" ht="21" x14ac:dyDescent="0.25">
      <c r="A42" s="2" t="s">
        <v>50</v>
      </c>
      <c r="B42">
        <v>8.0358000000000001</v>
      </c>
      <c r="C42">
        <v>12.1179059415757</v>
      </c>
      <c r="D42">
        <v>100.92100000000001</v>
      </c>
      <c r="E42">
        <f t="shared" si="0"/>
        <v>11.335634437216513</v>
      </c>
      <c r="F42" t="s">
        <v>5</v>
      </c>
    </row>
    <row r="43" spans="1:9" ht="21" x14ac:dyDescent="0.25">
      <c r="A43" s="2" t="s">
        <v>51</v>
      </c>
      <c r="B43">
        <v>6.5830000000000002</v>
      </c>
      <c r="C43">
        <v>9.4889553838316996</v>
      </c>
      <c r="D43">
        <v>76.340999999999994</v>
      </c>
      <c r="E43">
        <f t="shared" si="0"/>
        <v>9.8590253110853023</v>
      </c>
      <c r="F43" t="s">
        <v>5</v>
      </c>
    </row>
    <row r="44" spans="1:9" ht="21" x14ac:dyDescent="0.25">
      <c r="A44" s="2" t="s">
        <v>55</v>
      </c>
      <c r="B44">
        <v>7.7634000000000007</v>
      </c>
      <c r="C44">
        <v>11.734502688645</v>
      </c>
      <c r="D44">
        <v>89.512</v>
      </c>
      <c r="E44">
        <f t="shared" si="0"/>
        <v>10.675683497009752</v>
      </c>
      <c r="F44" t="s">
        <v>5</v>
      </c>
    </row>
    <row r="45" spans="1:9" ht="21" x14ac:dyDescent="0.25">
      <c r="A45" s="2" t="s">
        <v>54</v>
      </c>
      <c r="B45">
        <v>6.7192000000000007</v>
      </c>
      <c r="C45">
        <v>10.5950545701408</v>
      </c>
      <c r="D45">
        <v>87.843000000000004</v>
      </c>
      <c r="E45">
        <f t="shared" si="0"/>
        <v>10.57568822007171</v>
      </c>
      <c r="F45" t="s">
        <v>5</v>
      </c>
    </row>
    <row r="46" spans="1:9" ht="21" x14ac:dyDescent="0.25">
      <c r="A46" s="2" t="s">
        <v>52</v>
      </c>
      <c r="B46">
        <v>7.2640000000000002</v>
      </c>
      <c r="C46">
        <v>10.1238601930675</v>
      </c>
      <c r="D46">
        <v>76.405000000000001</v>
      </c>
      <c r="E46">
        <f t="shared" si="0"/>
        <v>9.8631570714190548</v>
      </c>
      <c r="F46" t="s">
        <v>5</v>
      </c>
    </row>
    <row r="47" spans="1:9" ht="21" x14ac:dyDescent="0.25">
      <c r="A47" s="2" t="s">
        <v>53</v>
      </c>
      <c r="B47">
        <v>7.4002000000000008</v>
      </c>
      <c r="C47">
        <v>11.2473558810896</v>
      </c>
      <c r="D47">
        <v>70.319000000000003</v>
      </c>
      <c r="E47">
        <f t="shared" si="0"/>
        <v>9.4621842904387581</v>
      </c>
      <c r="F47" t="s">
        <v>5</v>
      </c>
    </row>
    <row r="48" spans="1:9" ht="21" x14ac:dyDescent="0.25">
      <c r="A48" s="2" t="s">
        <v>6</v>
      </c>
      <c r="B48">
        <v>5.7204000000000006</v>
      </c>
      <c r="C48">
        <v>11.2585930701386</v>
      </c>
      <c r="D48">
        <v>89.302000000000007</v>
      </c>
      <c r="E48">
        <f t="shared" si="0"/>
        <v>10.663153277709743</v>
      </c>
      <c r="F48" t="s">
        <v>5</v>
      </c>
      <c r="H48">
        <f>AVERAGE(D42:D48)</f>
        <v>84.377571428571429</v>
      </c>
      <c r="I48">
        <f>_xlfn.STDEV.S(E42:E48)</f>
        <v>0.64456701779317283</v>
      </c>
    </row>
    <row r="49" spans="1:1" ht="21" x14ac:dyDescent="0.25">
      <c r="A49" s="2"/>
    </row>
    <row r="50" spans="1:1" ht="21" x14ac:dyDescent="0.25">
      <c r="A50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0581508f, 6e027bc1</dc:creator>
  <cp:lastModifiedBy>Gunar Fabig</cp:lastModifiedBy>
  <dcterms:created xsi:type="dcterms:W3CDTF">2025-07-07T06:54:50Z</dcterms:created>
  <dcterms:modified xsi:type="dcterms:W3CDTF">2026-09-10T13:51:46Z</dcterms:modified>
</cp:coreProperties>
</file>